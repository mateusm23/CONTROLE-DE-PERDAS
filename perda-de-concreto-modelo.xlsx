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67" documentId="11_B02FD925E3152D5ACB7A455AF4FFBFB2EC7D487C" xr6:coauthVersionLast="47" xr6:coauthVersionMax="47" xr10:uidLastSave="{6070894E-99DC-4E2E-AEBD-50CAB9EA6C7F}"/>
  <bookViews>
    <workbookView xWindow="-28920" yWindow="-120" windowWidth="29040" windowHeight="15720" activeTab="3" xr2:uid="{00000000-000D-0000-FFFF-FFFF00000000}"/>
  </bookViews>
  <sheets>
    <sheet name="Orçamento" sheetId="1" r:id="rId1"/>
    <sheet name="Visão Física" sheetId="2" r:id="rId2"/>
    <sheet name="Apropriação" sheetId="3" r:id="rId3"/>
    <sheet name="Resultad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15" i="2"/>
  <c r="F16" i="2"/>
  <c r="F17" i="2"/>
  <c r="F18" i="2"/>
  <c r="F19" i="2"/>
  <c r="D20" i="2"/>
  <c r="E20" i="2"/>
  <c r="F20" i="2" s="1"/>
  <c r="E17" i="1"/>
  <c r="E18" i="1"/>
  <c r="E19" i="1"/>
  <c r="E20" i="1"/>
  <c r="E21" i="1"/>
  <c r="E22" i="1"/>
  <c r="E23" i="1"/>
  <c r="E24" i="1"/>
  <c r="E25" i="1"/>
  <c r="C26" i="1"/>
  <c r="C4" i="4" s="1"/>
  <c r="E15" i="3"/>
  <c r="C7" i="4" s="1"/>
  <c r="G14" i="3"/>
  <c r="G13" i="3"/>
  <c r="G12" i="3"/>
  <c r="G11" i="3"/>
  <c r="G10" i="3"/>
  <c r="G9" i="3"/>
  <c r="G8" i="3"/>
  <c r="G7" i="3"/>
  <c r="G6" i="3"/>
  <c r="G5" i="3"/>
  <c r="G4" i="3"/>
  <c r="G3" i="3"/>
  <c r="F13" i="2"/>
  <c r="F12" i="2"/>
  <c r="F11" i="2"/>
  <c r="F10" i="2"/>
  <c r="F9" i="2"/>
  <c r="F8" i="2"/>
  <c r="F7" i="2"/>
  <c r="F6" i="2"/>
  <c r="F5" i="2"/>
  <c r="F4" i="2"/>
  <c r="F3" i="2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6" i="1" l="1"/>
  <c r="C5" i="4" s="1"/>
  <c r="C11" i="4" s="1"/>
  <c r="G15" i="3"/>
  <c r="C8" i="4" s="1"/>
  <c r="C12" i="4" s="1"/>
  <c r="C6" i="4"/>
  <c r="C16" i="4" s="1"/>
  <c r="C17" i="4" l="1"/>
  <c r="C18" i="4"/>
  <c r="C13" i="4"/>
  <c r="C19" i="4" s="1"/>
  <c r="C20" i="4" s="1"/>
</calcChain>
</file>

<file path=xl/sharedStrings.xml><?xml version="1.0" encoding="utf-8"?>
<sst xmlns="http://schemas.openxmlformats.org/spreadsheetml/2006/main" count="93" uniqueCount="70">
  <si>
    <t>ORÇAMENTO — Composição de Custo Previsto</t>
  </si>
  <si>
    <t>Descrição / Especificação</t>
  </si>
  <si>
    <t>Unidade</t>
  </si>
  <si>
    <t>Quantidade (m³)</t>
  </si>
  <si>
    <t>Valor Unitário (R$)</t>
  </si>
  <si>
    <t>Valor Total (R$)</t>
  </si>
  <si>
    <t>CONCRETO USINADO FCK 30MPA - SUBSOLO 02</t>
  </si>
  <si>
    <t>m³</t>
  </si>
  <si>
    <t>CONCRETO USINADO FCK 30MPA - SUBSOLO 01</t>
  </si>
  <si>
    <t>CONCRETO USINADO FCK 30MPA - TERREO</t>
  </si>
  <si>
    <t>CONCRETO USINADO FCK 30MPA - MEZANINO</t>
  </si>
  <si>
    <t>CONCRETO USINADO FCK 30MPA - PAV 02</t>
  </si>
  <si>
    <t>CONCRETO USINADO FCK 30MPA - PAV 03</t>
  </si>
  <si>
    <t>CONCRETO USINADO FCK 30MPA - PAV 04</t>
  </si>
  <si>
    <t>CONCRETO USINADO FCK 30MPA - PAV 05</t>
  </si>
  <si>
    <t>CONCRETO USINADO FCK 30MPA - PAV 06</t>
  </si>
  <si>
    <t>CONCRETO USINADO FCK 30MPA - COBERTURA</t>
  </si>
  <si>
    <t>TOTAL</t>
  </si>
  <si>
    <t>VISÃO FÍSICA — Evolução por Pavimento / Elemento</t>
  </si>
  <si>
    <t>Elemento</t>
  </si>
  <si>
    <t>Pavimento / Fase</t>
  </si>
  <si>
    <t>Data Concretagem</t>
  </si>
  <si>
    <t>Vol. Previsto (m³)</t>
  </si>
  <si>
    <t>Vol. Realizado (m³)</t>
  </si>
  <si>
    <t>% Execução</t>
  </si>
  <si>
    <t>Estrutura de Concreto</t>
  </si>
  <si>
    <t>SUBSOLO 02</t>
  </si>
  <si>
    <t>SUBSOLO 01</t>
  </si>
  <si>
    <t>TERREO</t>
  </si>
  <si>
    <t>MEZANINO</t>
  </si>
  <si>
    <t>PAV 02</t>
  </si>
  <si>
    <t>PAV 03</t>
  </si>
  <si>
    <t>PAV 04</t>
  </si>
  <si>
    <t>PAV 05</t>
  </si>
  <si>
    <t>PAV 06</t>
  </si>
  <si>
    <t>COBERTURA</t>
  </si>
  <si>
    <t>APROPRIAÇÃO — Notas Fiscais Lançadas</t>
  </si>
  <si>
    <t>Data NF</t>
  </si>
  <si>
    <t>Nº NF</t>
  </si>
  <si>
    <t>Fornecedor</t>
  </si>
  <si>
    <t>Descrição / FCK</t>
  </si>
  <si>
    <t>Volume (m³)</t>
  </si>
  <si>
    <t>R$ / m³</t>
  </si>
  <si>
    <t>45231</t>
  </si>
  <si>
    <t>Concrelix Concreto Usinado</t>
  </si>
  <si>
    <t>Concreto Usinado FCK 30MPa bombeado - Subsolo 02</t>
  </si>
  <si>
    <t>45389</t>
  </si>
  <si>
    <t>Concreto Usinado FCK 30MPa bombeado - Subsolo 01</t>
  </si>
  <si>
    <t>12087</t>
  </si>
  <si>
    <t>Supermix Concreto</t>
  </si>
  <si>
    <t>Concreto Usinado FCK 25MPa bombeado - Subsolo 01</t>
  </si>
  <si>
    <t>12144</t>
  </si>
  <si>
    <t>Concreto Usinado FCK 25MPa bombeado - Terreo</t>
  </si>
  <si>
    <t>Qtd Orçada (m³)</t>
  </si>
  <si>
    <t>Valor Orçado (R$)</t>
  </si>
  <si>
    <t>Qtd Medida em obra (m³)</t>
  </si>
  <si>
    <t>2. CÁLCULOS INTERMEDIÁRIOS</t>
  </si>
  <si>
    <t>Vlr. Unitário Orçado (R$/m³)</t>
  </si>
  <si>
    <t>Vlr. Unitário Apropriado (R$/m³)</t>
  </si>
  <si>
    <t>% Físico Medido (Qtd Medida ÷ Qtd Orçada)</t>
  </si>
  <si>
    <t>3. RESULTADO</t>
  </si>
  <si>
    <t>Perda de Quantidade (%)</t>
  </si>
  <si>
    <t>Desvio de Preço (%)</t>
  </si>
  <si>
    <t>Desvio de Custo Total (%)</t>
  </si>
  <si>
    <t>Δ R$ vs Orçado</t>
  </si>
  <si>
    <t>Qtd Apropriada  notas fiscais (m³)</t>
  </si>
  <si>
    <t>Valor Apropriado notas fiscais (R$)</t>
  </si>
  <si>
    <t>1. TOTAIS</t>
  </si>
  <si>
    <t>RESULTADOS Perda de Concreto &amp; Projeção de Custo</t>
  </si>
  <si>
    <t>Projeção de Custo Final EAC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</si>
</sst>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B2A4A"/>
      <name val="Calibri"/>
    </font>
    <font>
      <sz val="10"/>
      <name val="Calibri"/>
    </font>
    <font>
      <b/>
      <sz val="11"/>
      <color rgb="FF1B2A4A"/>
      <name val="Calibri"/>
    </font>
    <font>
      <b/>
      <sz val="12"/>
      <color rgb="FF277EBD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sz val="13"/>
      <color rgb="FFFFFFFF"/>
      <name val="Calibri"/>
      <family val="2"/>
    </font>
    <font>
      <b/>
      <sz val="11"/>
      <color rgb="FF1B2A4A"/>
      <name val="Calibri"/>
      <family val="2"/>
    </font>
    <font>
      <b/>
      <sz val="12"/>
      <color rgb="FF1B2A4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1F5F9"/>
      </patternFill>
    </fill>
    <fill>
      <patternFill patternType="solid">
        <fgColor rgb="FF277EBD"/>
      </patternFill>
    </fill>
    <fill>
      <patternFill patternType="solid">
        <fgColor rgb="FFEEF3F8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1D6CA6"/>
      </bottom>
      <diagonal/>
    </border>
    <border>
      <left/>
      <right/>
      <top style="medium">
        <color rgb="FF1B2A4A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rgb="FF1D6CA6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rgb="FF1B2A4A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38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4" fontId="3" fillId="3" borderId="2" xfId="0" applyNumberFormat="1" applyFont="1" applyFill="1" applyBorder="1"/>
    <xf numFmtId="164" fontId="3" fillId="3" borderId="2" xfId="0" applyNumberFormat="1" applyFont="1" applyFill="1" applyBorder="1"/>
    <xf numFmtId="0" fontId="1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11" fillId="3" borderId="3" xfId="0" applyFont="1" applyFill="1" applyBorder="1" applyAlignment="1">
      <alignment indent="1"/>
    </xf>
    <xf numFmtId="0" fontId="4" fillId="0" borderId="3" xfId="0" applyFont="1" applyBorder="1"/>
    <xf numFmtId="4" fontId="4" fillId="0" borderId="3" xfId="0" applyNumberFormat="1" applyFont="1" applyBorder="1" applyAlignment="1">
      <alignment horizontal="right"/>
    </xf>
    <xf numFmtId="0" fontId="8" fillId="0" borderId="3" xfId="0" applyFont="1" applyBorder="1"/>
    <xf numFmtId="164" fontId="4" fillId="0" borderId="3" xfId="0" applyNumberFormat="1" applyFont="1" applyBorder="1" applyAlignment="1">
      <alignment horizontal="right"/>
    </xf>
    <xf numFmtId="0" fontId="5" fillId="0" borderId="3" xfId="0" applyFont="1" applyBorder="1"/>
    <xf numFmtId="164" fontId="6" fillId="0" borderId="3" xfId="0" applyNumberFormat="1" applyFont="1" applyFill="1" applyBorder="1" applyAlignment="1">
      <alignment horizontal="center"/>
    </xf>
    <xf numFmtId="44" fontId="4" fillId="0" borderId="3" xfId="1" applyFont="1" applyBorder="1" applyAlignment="1">
      <alignment horizontal="right"/>
    </xf>
    <xf numFmtId="44" fontId="6" fillId="0" borderId="3" xfId="1" applyFont="1" applyFill="1" applyBorder="1" applyAlignment="1">
      <alignment horizontal="center"/>
    </xf>
    <xf numFmtId="0" fontId="10" fillId="0" borderId="3" xfId="0" applyFont="1" applyBorder="1"/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4" fontId="0" fillId="0" borderId="4" xfId="0" applyNumberFormat="1" applyFill="1" applyBorder="1"/>
    <xf numFmtId="4" fontId="0" fillId="0" borderId="4" xfId="0" applyNumberFormat="1" applyBorder="1"/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4" fontId="0" fillId="0" borderId="5" xfId="0" applyNumberFormat="1" applyFill="1" applyBorder="1"/>
    <xf numFmtId="4" fontId="0" fillId="0" borderId="5" xfId="0" applyNumberFormat="1" applyBorder="1"/>
    <xf numFmtId="0" fontId="0" fillId="0" borderId="5" xfId="0" applyBorder="1"/>
    <xf numFmtId="0" fontId="0" fillId="0" borderId="6" xfId="0" applyBorder="1"/>
    <xf numFmtId="4" fontId="0" fillId="0" borderId="6" xfId="0" applyNumberFormat="1" applyBorder="1"/>
    <xf numFmtId="14" fontId="0" fillId="0" borderId="5" xfId="0" applyNumberFormat="1" applyBorder="1"/>
    <xf numFmtId="14" fontId="0" fillId="0" borderId="6" xfId="0" applyNumberFormat="1" applyBorder="1"/>
    <xf numFmtId="14" fontId="0" fillId="0" borderId="4" xfId="0" applyNumberFormat="1" applyFill="1" applyBorder="1"/>
    <xf numFmtId="14" fontId="0" fillId="0" borderId="5" xfId="0" applyNumberFormat="1" applyFill="1" applyBorder="1"/>
    <xf numFmtId="4" fontId="0" fillId="5" borderId="4" xfId="0" applyNumberFormat="1" applyFill="1" applyBorder="1"/>
    <xf numFmtId="4" fontId="0" fillId="5" borderId="5" xfId="0" applyNumberFormat="1" applyFill="1" applyBorder="1"/>
    <xf numFmtId="4" fontId="0" fillId="5" borderId="6" xfId="0" applyNumberFormat="1" applyFill="1" applyBorder="1"/>
    <xf numFmtId="164" fontId="0" fillId="5" borderId="4" xfId="0" applyNumberFormat="1" applyFill="1" applyBorder="1"/>
    <xf numFmtId="164" fontId="0" fillId="5" borderId="5" xfId="0" applyNumberFormat="1" applyFill="1" applyBorder="1"/>
    <xf numFmtId="164" fontId="0" fillId="5" borderId="6" xfId="0" applyNumberForma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EF3F8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46" customWidth="1"/>
    <col min="2" max="2" width="12" customWidth="1"/>
    <col min="3" max="3" width="16" customWidth="1"/>
    <col min="4" max="5" width="18" customWidth="1"/>
  </cols>
  <sheetData>
    <row r="1" spans="1:5" ht="26.1" customHeight="1" x14ac:dyDescent="0.25">
      <c r="A1" s="5" t="s">
        <v>0</v>
      </c>
      <c r="B1" s="5"/>
      <c r="C1" s="5"/>
      <c r="D1" s="5"/>
      <c r="E1" s="5"/>
    </row>
    <row r="2" spans="1:5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17" t="s">
        <v>6</v>
      </c>
      <c r="B3" s="18" t="s">
        <v>7</v>
      </c>
      <c r="C3" s="19">
        <v>180</v>
      </c>
      <c r="D3" s="19">
        <v>870</v>
      </c>
      <c r="E3" s="32">
        <f t="shared" ref="E3:E16" si="0">IF(AND(C3="",D3=""),"",C3*D3)</f>
        <v>156600</v>
      </c>
    </row>
    <row r="4" spans="1:5" x14ac:dyDescent="0.25">
      <c r="A4" s="21" t="s">
        <v>8</v>
      </c>
      <c r="B4" s="22" t="s">
        <v>7</v>
      </c>
      <c r="C4" s="23">
        <v>172</v>
      </c>
      <c r="D4" s="23">
        <v>870</v>
      </c>
      <c r="E4" s="33">
        <f t="shared" si="0"/>
        <v>149640</v>
      </c>
    </row>
    <row r="5" spans="1:5" x14ac:dyDescent="0.25">
      <c r="A5" s="21" t="s">
        <v>9</v>
      </c>
      <c r="B5" s="22" t="s">
        <v>7</v>
      </c>
      <c r="C5" s="23">
        <v>165</v>
      </c>
      <c r="D5" s="23">
        <v>870</v>
      </c>
      <c r="E5" s="33">
        <f t="shared" si="0"/>
        <v>143550</v>
      </c>
    </row>
    <row r="6" spans="1:5" x14ac:dyDescent="0.25">
      <c r="A6" s="21" t="s">
        <v>10</v>
      </c>
      <c r="B6" s="22" t="s">
        <v>7</v>
      </c>
      <c r="C6" s="23">
        <v>125</v>
      </c>
      <c r="D6" s="23">
        <v>870</v>
      </c>
      <c r="E6" s="33">
        <f t="shared" si="0"/>
        <v>108750</v>
      </c>
    </row>
    <row r="7" spans="1:5" x14ac:dyDescent="0.25">
      <c r="A7" s="21" t="s">
        <v>11</v>
      </c>
      <c r="B7" s="22" t="s">
        <v>7</v>
      </c>
      <c r="C7" s="23">
        <v>158</v>
      </c>
      <c r="D7" s="23">
        <v>870</v>
      </c>
      <c r="E7" s="33">
        <f t="shared" si="0"/>
        <v>137460</v>
      </c>
    </row>
    <row r="8" spans="1:5" x14ac:dyDescent="0.25">
      <c r="A8" s="21" t="s">
        <v>12</v>
      </c>
      <c r="B8" s="22" t="s">
        <v>7</v>
      </c>
      <c r="C8" s="23">
        <v>158</v>
      </c>
      <c r="D8" s="23">
        <v>870</v>
      </c>
      <c r="E8" s="33">
        <f t="shared" si="0"/>
        <v>137460</v>
      </c>
    </row>
    <row r="9" spans="1:5" x14ac:dyDescent="0.25">
      <c r="A9" s="21" t="s">
        <v>13</v>
      </c>
      <c r="B9" s="22" t="s">
        <v>7</v>
      </c>
      <c r="C9" s="23">
        <v>158</v>
      </c>
      <c r="D9" s="23">
        <v>870</v>
      </c>
      <c r="E9" s="33">
        <f t="shared" si="0"/>
        <v>137460</v>
      </c>
    </row>
    <row r="10" spans="1:5" x14ac:dyDescent="0.25">
      <c r="A10" s="21" t="s">
        <v>14</v>
      </c>
      <c r="B10" s="22" t="s">
        <v>7</v>
      </c>
      <c r="C10" s="23">
        <v>158</v>
      </c>
      <c r="D10" s="23">
        <v>870</v>
      </c>
      <c r="E10" s="33">
        <f t="shared" si="0"/>
        <v>137460</v>
      </c>
    </row>
    <row r="11" spans="1:5" x14ac:dyDescent="0.25">
      <c r="A11" s="21" t="s">
        <v>15</v>
      </c>
      <c r="B11" s="22" t="s">
        <v>7</v>
      </c>
      <c r="C11" s="23">
        <v>158</v>
      </c>
      <c r="D11" s="23">
        <v>870</v>
      </c>
      <c r="E11" s="33">
        <f t="shared" si="0"/>
        <v>137460</v>
      </c>
    </row>
    <row r="12" spans="1:5" x14ac:dyDescent="0.25">
      <c r="A12" s="21" t="s">
        <v>16</v>
      </c>
      <c r="B12" s="22" t="s">
        <v>7</v>
      </c>
      <c r="C12" s="23">
        <v>119</v>
      </c>
      <c r="D12" s="23">
        <v>870</v>
      </c>
      <c r="E12" s="33">
        <f t="shared" si="0"/>
        <v>103530</v>
      </c>
    </row>
    <row r="13" spans="1:5" x14ac:dyDescent="0.25">
      <c r="A13" s="21"/>
      <c r="B13" s="21"/>
      <c r="C13" s="23"/>
      <c r="D13" s="23"/>
      <c r="E13" s="33" t="str">
        <f t="shared" si="0"/>
        <v/>
      </c>
    </row>
    <row r="14" spans="1:5" x14ac:dyDescent="0.25">
      <c r="A14" s="21"/>
      <c r="B14" s="21"/>
      <c r="C14" s="23"/>
      <c r="D14" s="23"/>
      <c r="E14" s="33" t="str">
        <f t="shared" si="0"/>
        <v/>
      </c>
    </row>
    <row r="15" spans="1:5" x14ac:dyDescent="0.25">
      <c r="A15" s="21"/>
      <c r="B15" s="21"/>
      <c r="C15" s="23"/>
      <c r="D15" s="23"/>
      <c r="E15" s="33" t="str">
        <f t="shared" si="0"/>
        <v/>
      </c>
    </row>
    <row r="16" spans="1:5" x14ac:dyDescent="0.25">
      <c r="A16" s="21"/>
      <c r="B16" s="21"/>
      <c r="C16" s="23"/>
      <c r="D16" s="23"/>
      <c r="E16" s="33" t="str">
        <f t="shared" si="0"/>
        <v/>
      </c>
    </row>
    <row r="17" spans="1:5" x14ac:dyDescent="0.25">
      <c r="A17" s="25"/>
      <c r="B17" s="25"/>
      <c r="C17" s="24"/>
      <c r="D17" s="24"/>
      <c r="E17" s="33" t="str">
        <f t="shared" ref="E17:E25" si="1">IF(AND(C17="",D17=""),"",C17*D17)</f>
        <v/>
      </c>
    </row>
    <row r="18" spans="1:5" x14ac:dyDescent="0.25">
      <c r="A18" s="25"/>
      <c r="B18" s="25"/>
      <c r="C18" s="24"/>
      <c r="D18" s="24"/>
      <c r="E18" s="33" t="str">
        <f t="shared" si="1"/>
        <v/>
      </c>
    </row>
    <row r="19" spans="1:5" x14ac:dyDescent="0.25">
      <c r="A19" s="25"/>
      <c r="B19" s="25"/>
      <c r="C19" s="24"/>
      <c r="D19" s="24"/>
      <c r="E19" s="33" t="str">
        <f t="shared" si="1"/>
        <v/>
      </c>
    </row>
    <row r="20" spans="1:5" x14ac:dyDescent="0.25">
      <c r="A20" s="25"/>
      <c r="B20" s="25"/>
      <c r="C20" s="24"/>
      <c r="D20" s="24"/>
      <c r="E20" s="33" t="str">
        <f t="shared" si="1"/>
        <v/>
      </c>
    </row>
    <row r="21" spans="1:5" x14ac:dyDescent="0.25">
      <c r="A21" s="25"/>
      <c r="B21" s="25"/>
      <c r="C21" s="24"/>
      <c r="D21" s="24"/>
      <c r="E21" s="33" t="str">
        <f t="shared" si="1"/>
        <v/>
      </c>
    </row>
    <row r="22" spans="1:5" x14ac:dyDescent="0.25">
      <c r="A22" s="25"/>
      <c r="B22" s="25"/>
      <c r="C22" s="24"/>
      <c r="D22" s="24"/>
      <c r="E22" s="33" t="str">
        <f t="shared" si="1"/>
        <v/>
      </c>
    </row>
    <row r="23" spans="1:5" x14ac:dyDescent="0.25">
      <c r="A23" s="25"/>
      <c r="B23" s="25"/>
      <c r="C23" s="24"/>
      <c r="D23" s="24"/>
      <c r="E23" s="33" t="str">
        <f t="shared" si="1"/>
        <v/>
      </c>
    </row>
    <row r="24" spans="1:5" x14ac:dyDescent="0.25">
      <c r="A24" s="25"/>
      <c r="B24" s="25"/>
      <c r="C24" s="24"/>
      <c r="D24" s="24"/>
      <c r="E24" s="33" t="str">
        <f t="shared" si="1"/>
        <v/>
      </c>
    </row>
    <row r="25" spans="1:5" ht="15.75" thickBot="1" x14ac:dyDescent="0.3">
      <c r="A25" s="26"/>
      <c r="B25" s="26"/>
      <c r="C25" s="27"/>
      <c r="D25" s="27"/>
      <c r="E25" s="34" t="str">
        <f t="shared" si="1"/>
        <v/>
      </c>
    </row>
    <row r="26" spans="1:5" ht="18" customHeight="1" x14ac:dyDescent="0.25">
      <c r="A26" s="2" t="s">
        <v>17</v>
      </c>
      <c r="B26" s="2"/>
      <c r="C26" s="3">
        <f>SUM(C3:C25)</f>
        <v>1551</v>
      </c>
      <c r="D26" s="2"/>
      <c r="E26" s="3">
        <f>SUM(E3:E25)</f>
        <v>1349370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26" customWidth="1"/>
    <col min="2" max="2" width="20" customWidth="1"/>
    <col min="3" max="4" width="16" customWidth="1"/>
    <col min="5" max="5" width="23.85546875" customWidth="1"/>
    <col min="6" max="6" width="24" customWidth="1"/>
  </cols>
  <sheetData>
    <row r="1" spans="1:6" ht="26.1" customHeight="1" x14ac:dyDescent="0.25">
      <c r="A1" s="5" t="s">
        <v>18</v>
      </c>
      <c r="B1" s="5"/>
      <c r="C1" s="5"/>
      <c r="D1" s="5"/>
      <c r="E1" s="5"/>
      <c r="F1" s="5"/>
    </row>
    <row r="2" spans="1:6" ht="20.100000000000001" customHeight="1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</row>
    <row r="3" spans="1:6" x14ac:dyDescent="0.25">
      <c r="A3" s="17" t="s">
        <v>25</v>
      </c>
      <c r="B3" s="17" t="s">
        <v>26</v>
      </c>
      <c r="C3" s="30">
        <v>46162.125</v>
      </c>
      <c r="D3" s="19">
        <v>180</v>
      </c>
      <c r="E3" s="19">
        <v>180</v>
      </c>
      <c r="F3" s="35">
        <f t="shared" ref="F3:F13" si="0">IF(D3="","",IFERROR(E3/D3,""))</f>
        <v>1</v>
      </c>
    </row>
    <row r="4" spans="1:6" x14ac:dyDescent="0.25">
      <c r="A4" s="21" t="s">
        <v>25</v>
      </c>
      <c r="B4" s="21" t="s">
        <v>27</v>
      </c>
      <c r="C4" s="31">
        <v>46213.125</v>
      </c>
      <c r="D4" s="23">
        <v>172</v>
      </c>
      <c r="E4" s="23">
        <v>130</v>
      </c>
      <c r="F4" s="36">
        <f t="shared" si="0"/>
        <v>0.7558139534883721</v>
      </c>
    </row>
    <row r="5" spans="1:6" x14ac:dyDescent="0.25">
      <c r="A5" s="21" t="s">
        <v>25</v>
      </c>
      <c r="B5" s="21" t="s">
        <v>28</v>
      </c>
      <c r="C5" s="31"/>
      <c r="D5" s="23">
        <v>165</v>
      </c>
      <c r="E5" s="23">
        <v>0</v>
      </c>
      <c r="F5" s="36">
        <f t="shared" si="0"/>
        <v>0</v>
      </c>
    </row>
    <row r="6" spans="1:6" x14ac:dyDescent="0.25">
      <c r="A6" s="21" t="s">
        <v>25</v>
      </c>
      <c r="B6" s="21" t="s">
        <v>29</v>
      </c>
      <c r="C6" s="31"/>
      <c r="D6" s="23">
        <v>125</v>
      </c>
      <c r="E6" s="23">
        <v>0</v>
      </c>
      <c r="F6" s="36">
        <f t="shared" si="0"/>
        <v>0</v>
      </c>
    </row>
    <row r="7" spans="1:6" x14ac:dyDescent="0.25">
      <c r="A7" s="21" t="s">
        <v>25</v>
      </c>
      <c r="B7" s="21" t="s">
        <v>30</v>
      </c>
      <c r="C7" s="31"/>
      <c r="D7" s="23">
        <v>158</v>
      </c>
      <c r="E7" s="23">
        <v>0</v>
      </c>
      <c r="F7" s="36">
        <f t="shared" si="0"/>
        <v>0</v>
      </c>
    </row>
    <row r="8" spans="1:6" x14ac:dyDescent="0.25">
      <c r="A8" s="21" t="s">
        <v>25</v>
      </c>
      <c r="B8" s="21" t="s">
        <v>31</v>
      </c>
      <c r="C8" s="31"/>
      <c r="D8" s="23">
        <v>158</v>
      </c>
      <c r="E8" s="23">
        <v>0</v>
      </c>
      <c r="F8" s="36">
        <f t="shared" si="0"/>
        <v>0</v>
      </c>
    </row>
    <row r="9" spans="1:6" x14ac:dyDescent="0.25">
      <c r="A9" s="21" t="s">
        <v>25</v>
      </c>
      <c r="B9" s="21" t="s">
        <v>32</v>
      </c>
      <c r="C9" s="31"/>
      <c r="D9" s="23">
        <v>158</v>
      </c>
      <c r="E9" s="23">
        <v>0</v>
      </c>
      <c r="F9" s="36">
        <f t="shared" si="0"/>
        <v>0</v>
      </c>
    </row>
    <row r="10" spans="1:6" x14ac:dyDescent="0.25">
      <c r="A10" s="21" t="s">
        <v>25</v>
      </c>
      <c r="B10" s="21" t="s">
        <v>33</v>
      </c>
      <c r="C10" s="31"/>
      <c r="D10" s="23">
        <v>158</v>
      </c>
      <c r="E10" s="23">
        <v>0</v>
      </c>
      <c r="F10" s="36">
        <f t="shared" si="0"/>
        <v>0</v>
      </c>
    </row>
    <row r="11" spans="1:6" x14ac:dyDescent="0.25">
      <c r="A11" s="21" t="s">
        <v>25</v>
      </c>
      <c r="B11" s="21" t="s">
        <v>34</v>
      </c>
      <c r="C11" s="31"/>
      <c r="D11" s="23">
        <v>158</v>
      </c>
      <c r="E11" s="23">
        <v>0</v>
      </c>
      <c r="F11" s="36">
        <f t="shared" si="0"/>
        <v>0</v>
      </c>
    </row>
    <row r="12" spans="1:6" x14ac:dyDescent="0.25">
      <c r="A12" s="21" t="s">
        <v>25</v>
      </c>
      <c r="B12" s="21" t="s">
        <v>35</v>
      </c>
      <c r="C12" s="31"/>
      <c r="D12" s="23">
        <v>119</v>
      </c>
      <c r="E12" s="23">
        <v>0</v>
      </c>
      <c r="F12" s="36">
        <f t="shared" si="0"/>
        <v>0</v>
      </c>
    </row>
    <row r="13" spans="1:6" x14ac:dyDescent="0.25">
      <c r="A13" s="21"/>
      <c r="B13" s="21"/>
      <c r="C13" s="31"/>
      <c r="D13" s="23"/>
      <c r="E13" s="23"/>
      <c r="F13" s="36" t="str">
        <f t="shared" si="0"/>
        <v/>
      </c>
    </row>
    <row r="14" spans="1:6" x14ac:dyDescent="0.25">
      <c r="A14" s="21"/>
      <c r="B14" s="21"/>
      <c r="C14" s="31"/>
      <c r="D14" s="23"/>
      <c r="E14" s="23"/>
      <c r="F14" s="36" t="str">
        <f t="shared" ref="F14:F19" si="1">IF(D14="","",IFERROR(E14/D14,""))</f>
        <v/>
      </c>
    </row>
    <row r="15" spans="1:6" x14ac:dyDescent="0.25">
      <c r="A15" s="21"/>
      <c r="B15" s="21"/>
      <c r="C15" s="31"/>
      <c r="D15" s="23"/>
      <c r="E15" s="23"/>
      <c r="F15" s="36" t="str">
        <f t="shared" si="1"/>
        <v/>
      </c>
    </row>
    <row r="16" spans="1:6" x14ac:dyDescent="0.25">
      <c r="A16" s="25"/>
      <c r="B16" s="25"/>
      <c r="C16" s="28"/>
      <c r="D16" s="24"/>
      <c r="E16" s="24"/>
      <c r="F16" s="36" t="str">
        <f t="shared" si="1"/>
        <v/>
      </c>
    </row>
    <row r="17" spans="1:6" x14ac:dyDescent="0.25">
      <c r="A17" s="25"/>
      <c r="B17" s="25"/>
      <c r="C17" s="28"/>
      <c r="D17" s="24"/>
      <c r="E17" s="24"/>
      <c r="F17" s="36" t="str">
        <f t="shared" si="1"/>
        <v/>
      </c>
    </row>
    <row r="18" spans="1:6" x14ac:dyDescent="0.25">
      <c r="A18" s="25"/>
      <c r="B18" s="25"/>
      <c r="C18" s="28"/>
      <c r="D18" s="24"/>
      <c r="E18" s="24"/>
      <c r="F18" s="36" t="str">
        <f t="shared" si="1"/>
        <v/>
      </c>
    </row>
    <row r="19" spans="1:6" ht="15.75" thickBot="1" x14ac:dyDescent="0.3">
      <c r="A19" s="26"/>
      <c r="B19" s="26"/>
      <c r="C19" s="29"/>
      <c r="D19" s="27"/>
      <c r="E19" s="27"/>
      <c r="F19" s="37" t="str">
        <f t="shared" si="1"/>
        <v/>
      </c>
    </row>
    <row r="20" spans="1:6" ht="18" customHeight="1" x14ac:dyDescent="0.25">
      <c r="A20" s="2" t="s">
        <v>17</v>
      </c>
      <c r="B20" s="2"/>
      <c r="C20" s="2"/>
      <c r="D20" s="3">
        <f>SUM(D3:D19)</f>
        <v>1551</v>
      </c>
      <c r="E20" s="3">
        <f>SUM(E3:E19)</f>
        <v>310</v>
      </c>
      <c r="F20" s="4">
        <f>IFERROR(E20/D20,"")</f>
        <v>0.19987105093488072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pane ySplit="2" topLeftCell="A3" activePane="bottomLeft" state="frozen"/>
      <selection pane="bottomLeft" activeCell="A2" sqref="A2:XFD2"/>
    </sheetView>
  </sheetViews>
  <sheetFormatPr defaultRowHeight="15" x14ac:dyDescent="0.25"/>
  <cols>
    <col min="1" max="1" width="10.7109375" bestFit="1" customWidth="1"/>
    <col min="2" max="2" width="6" bestFit="1" customWidth="1"/>
    <col min="3" max="3" width="25.85546875" bestFit="1" customWidth="1"/>
    <col min="4" max="4" width="48.85546875" bestFit="1" customWidth="1"/>
    <col min="5" max="5" width="18" customWidth="1"/>
    <col min="6" max="6" width="14.28515625" customWidth="1"/>
    <col min="7" max="7" width="15.85546875" customWidth="1"/>
  </cols>
  <sheetData>
    <row r="1" spans="1:7" ht="26.1" customHeight="1" x14ac:dyDescent="0.25">
      <c r="A1" s="5" t="s">
        <v>36</v>
      </c>
      <c r="B1" s="5"/>
      <c r="C1" s="5"/>
      <c r="D1" s="5"/>
      <c r="E1" s="5"/>
      <c r="F1" s="5"/>
      <c r="G1" s="5"/>
    </row>
    <row r="2" spans="1:7" ht="20.100000000000001" customHeight="1" x14ac:dyDescent="0.2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5</v>
      </c>
    </row>
    <row r="3" spans="1:7" x14ac:dyDescent="0.25">
      <c r="A3" s="30">
        <v>46157.125</v>
      </c>
      <c r="B3" s="17" t="s">
        <v>43</v>
      </c>
      <c r="C3" s="17" t="s">
        <v>44</v>
      </c>
      <c r="D3" s="17" t="s">
        <v>45</v>
      </c>
      <c r="E3" s="19">
        <v>150</v>
      </c>
      <c r="F3" s="19">
        <v>925</v>
      </c>
      <c r="G3" s="20">
        <f t="shared" ref="G3:G9" si="0">IF(AND(E3="",F3=""),"",E3*F3)</f>
        <v>138750</v>
      </c>
    </row>
    <row r="4" spans="1:7" x14ac:dyDescent="0.25">
      <c r="A4" s="31">
        <v>46175.125</v>
      </c>
      <c r="B4" s="21" t="s">
        <v>46</v>
      </c>
      <c r="C4" s="21" t="s">
        <v>44</v>
      </c>
      <c r="D4" s="21" t="s">
        <v>47</v>
      </c>
      <c r="E4" s="23">
        <v>120</v>
      </c>
      <c r="F4" s="23">
        <v>930</v>
      </c>
      <c r="G4" s="24">
        <f t="shared" si="0"/>
        <v>111600</v>
      </c>
    </row>
    <row r="5" spans="1:7" x14ac:dyDescent="0.25">
      <c r="A5" s="31">
        <v>46193.125</v>
      </c>
      <c r="B5" s="21" t="s">
        <v>48</v>
      </c>
      <c r="C5" s="21" t="s">
        <v>49</v>
      </c>
      <c r="D5" s="21" t="s">
        <v>50</v>
      </c>
      <c r="E5" s="23">
        <v>100</v>
      </c>
      <c r="F5" s="23">
        <v>935</v>
      </c>
      <c r="G5" s="24">
        <f t="shared" si="0"/>
        <v>93500</v>
      </c>
    </row>
    <row r="6" spans="1:7" x14ac:dyDescent="0.25">
      <c r="A6" s="31">
        <v>46213.125</v>
      </c>
      <c r="B6" s="21" t="s">
        <v>51</v>
      </c>
      <c r="C6" s="21" t="s">
        <v>49</v>
      </c>
      <c r="D6" s="21" t="s">
        <v>52</v>
      </c>
      <c r="E6" s="23">
        <v>65</v>
      </c>
      <c r="F6" s="23">
        <v>940</v>
      </c>
      <c r="G6" s="24">
        <f t="shared" si="0"/>
        <v>61100</v>
      </c>
    </row>
    <row r="7" spans="1:7" x14ac:dyDescent="0.25">
      <c r="A7" s="31"/>
      <c r="B7" s="21"/>
      <c r="C7" s="21"/>
      <c r="D7" s="21"/>
      <c r="E7" s="23"/>
      <c r="F7" s="23"/>
      <c r="G7" s="24" t="str">
        <f t="shared" si="0"/>
        <v/>
      </c>
    </row>
    <row r="8" spans="1:7" x14ac:dyDescent="0.25">
      <c r="A8" s="31"/>
      <c r="B8" s="21"/>
      <c r="C8" s="21"/>
      <c r="D8" s="21"/>
      <c r="E8" s="23"/>
      <c r="F8" s="23"/>
      <c r="G8" s="24" t="str">
        <f t="shared" si="0"/>
        <v/>
      </c>
    </row>
    <row r="9" spans="1:7" x14ac:dyDescent="0.25">
      <c r="A9" s="31"/>
      <c r="B9" s="21"/>
      <c r="C9" s="21"/>
      <c r="D9" s="21"/>
      <c r="E9" s="23"/>
      <c r="F9" s="23"/>
      <c r="G9" s="24" t="str">
        <f t="shared" si="0"/>
        <v/>
      </c>
    </row>
    <row r="10" spans="1:7" x14ac:dyDescent="0.25">
      <c r="A10" s="31"/>
      <c r="B10" s="21"/>
      <c r="C10" s="21"/>
      <c r="D10" s="21"/>
      <c r="E10" s="23"/>
      <c r="F10" s="23"/>
      <c r="G10" s="24" t="str">
        <f t="shared" ref="G10:G14" si="1">IF(AND(E10="",F10=""),"",E10*F10)</f>
        <v/>
      </c>
    </row>
    <row r="11" spans="1:7" x14ac:dyDescent="0.25">
      <c r="A11" s="28"/>
      <c r="B11" s="25"/>
      <c r="C11" s="25"/>
      <c r="D11" s="25"/>
      <c r="E11" s="24"/>
      <c r="F11" s="24"/>
      <c r="G11" s="24" t="str">
        <f t="shared" si="1"/>
        <v/>
      </c>
    </row>
    <row r="12" spans="1:7" x14ac:dyDescent="0.25">
      <c r="A12" s="28"/>
      <c r="B12" s="25"/>
      <c r="C12" s="25"/>
      <c r="D12" s="25"/>
      <c r="E12" s="24"/>
      <c r="F12" s="24"/>
      <c r="G12" s="24" t="str">
        <f t="shared" si="1"/>
        <v/>
      </c>
    </row>
    <row r="13" spans="1:7" x14ac:dyDescent="0.25">
      <c r="A13" s="28"/>
      <c r="B13" s="25"/>
      <c r="C13" s="25"/>
      <c r="D13" s="25"/>
      <c r="E13" s="24"/>
      <c r="F13" s="24"/>
      <c r="G13" s="24" t="str">
        <f t="shared" si="1"/>
        <v/>
      </c>
    </row>
    <row r="14" spans="1:7" ht="15.75" thickBot="1" x14ac:dyDescent="0.3">
      <c r="A14" s="29"/>
      <c r="B14" s="26"/>
      <c r="C14" s="26"/>
      <c r="D14" s="26"/>
      <c r="E14" s="27"/>
      <c r="F14" s="27"/>
      <c r="G14" s="27" t="str">
        <f t="shared" si="1"/>
        <v/>
      </c>
    </row>
    <row r="15" spans="1:7" ht="18" customHeight="1" x14ac:dyDescent="0.25">
      <c r="A15" s="2" t="s">
        <v>17</v>
      </c>
      <c r="B15" s="2"/>
      <c r="C15" s="2"/>
      <c r="D15" s="2"/>
      <c r="E15" s="3">
        <f>SUM(E3:E14)</f>
        <v>435</v>
      </c>
      <c r="F15" s="2"/>
      <c r="G15" s="3">
        <f>SUM(G3:G14)</f>
        <v>404950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20"/>
  <sheetViews>
    <sheetView showGridLines="0" tabSelected="1" zoomScale="115" zoomScaleNormal="115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3.7109375" customWidth="1"/>
    <col min="2" max="2" width="42.85546875" customWidth="1"/>
    <col min="3" max="3" width="17.7109375" bestFit="1" customWidth="1"/>
  </cols>
  <sheetData>
    <row r="1" spans="2:3" ht="17.25" x14ac:dyDescent="0.25">
      <c r="B1" s="6" t="s">
        <v>68</v>
      </c>
      <c r="C1" s="5"/>
    </row>
    <row r="3" spans="2:3" ht="15.75" x14ac:dyDescent="0.25">
      <c r="B3" s="7" t="s">
        <v>67</v>
      </c>
      <c r="C3" s="7"/>
    </row>
    <row r="4" spans="2:3" x14ac:dyDescent="0.25">
      <c r="B4" s="8" t="s">
        <v>53</v>
      </c>
      <c r="C4" s="9">
        <f>Orçamento!C26</f>
        <v>1551</v>
      </c>
    </row>
    <row r="5" spans="2:3" x14ac:dyDescent="0.25">
      <c r="B5" s="8" t="s">
        <v>54</v>
      </c>
      <c r="C5" s="14">
        <f>Orçamento!E26</f>
        <v>1349370</v>
      </c>
    </row>
    <row r="6" spans="2:3" x14ac:dyDescent="0.25">
      <c r="B6" s="8" t="s">
        <v>55</v>
      </c>
      <c r="C6" s="9">
        <f>'Visão Física'!E20</f>
        <v>310</v>
      </c>
    </row>
    <row r="7" spans="2:3" x14ac:dyDescent="0.25">
      <c r="B7" s="10" t="s">
        <v>65</v>
      </c>
      <c r="C7" s="9">
        <f>Apropriação!E15</f>
        <v>435</v>
      </c>
    </row>
    <row r="8" spans="2:3" x14ac:dyDescent="0.25">
      <c r="B8" s="10" t="s">
        <v>66</v>
      </c>
      <c r="C8" s="14">
        <f>Apropriação!G15</f>
        <v>404950</v>
      </c>
    </row>
    <row r="10" spans="2:3" ht="15.75" x14ac:dyDescent="0.25">
      <c r="B10" s="7" t="s">
        <v>56</v>
      </c>
      <c r="C10" s="7"/>
    </row>
    <row r="11" spans="2:3" x14ac:dyDescent="0.25">
      <c r="B11" s="8" t="s">
        <v>57</v>
      </c>
      <c r="C11" s="14">
        <f>IFERROR(C5/C4,"")</f>
        <v>870</v>
      </c>
    </row>
    <row r="12" spans="2:3" x14ac:dyDescent="0.25">
      <c r="B12" s="8" t="s">
        <v>58</v>
      </c>
      <c r="C12" s="14">
        <f>IFERROR(C8/C7,"")</f>
        <v>930.919540229885</v>
      </c>
    </row>
    <row r="13" spans="2:3" x14ac:dyDescent="0.25">
      <c r="B13" s="8" t="s">
        <v>59</v>
      </c>
      <c r="C13" s="11">
        <f>IFERROR(C6/C4,"")</f>
        <v>0.19987105093488072</v>
      </c>
    </row>
    <row r="15" spans="2:3" ht="15.75" x14ac:dyDescent="0.25">
      <c r="B15" s="7" t="s">
        <v>60</v>
      </c>
      <c r="C15" s="7"/>
    </row>
    <row r="16" spans="2:3" ht="15.75" x14ac:dyDescent="0.25">
      <c r="B16" s="12" t="s">
        <v>61</v>
      </c>
      <c r="C16" s="13">
        <f>IFERROR((C7-C6)/C6,"")</f>
        <v>0.40322580645161288</v>
      </c>
    </row>
    <row r="17" spans="2:3" ht="15.75" x14ac:dyDescent="0.25">
      <c r="B17" s="12" t="s">
        <v>62</v>
      </c>
      <c r="C17" s="13">
        <f>IFERROR((C12-C11)/C11,"")</f>
        <v>7.0022460034350573E-2</v>
      </c>
    </row>
    <row r="18" spans="2:3" ht="15.75" x14ac:dyDescent="0.25">
      <c r="B18" s="12" t="s">
        <v>63</v>
      </c>
      <c r="C18" s="13">
        <f>IFERROR((C8-(C6*C11))/(C6*C11),"")</f>
        <v>0.50148312940304041</v>
      </c>
    </row>
    <row r="19" spans="2:3" ht="15.75" x14ac:dyDescent="0.25">
      <c r="B19" s="16" t="s">
        <v>69</v>
      </c>
      <c r="C19" s="15">
        <f>IFERROR(C8/C13,"")</f>
        <v>2026056.2903225806</v>
      </c>
    </row>
    <row r="20" spans="2:3" ht="15.75" x14ac:dyDescent="0.25">
      <c r="B20" s="12" t="s">
        <v>64</v>
      </c>
      <c r="C20" s="15">
        <f>IFERROR(C19-C5,"")</f>
        <v>676686.29032258061</v>
      </c>
    </row>
  </sheetData>
  <mergeCells count="4">
    <mergeCell ref="B1:C1"/>
    <mergeCell ref="B3:C3"/>
    <mergeCell ref="B10:C10"/>
    <mergeCell ref="B15:C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</vt:lpstr>
      <vt:lpstr>Visão Física</vt:lpstr>
      <vt:lpstr>Apropriação</vt:lpstr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2026-07-28T17:59:06Z</dcterms:created>
  <dcterms:modified xsi:type="dcterms:W3CDTF">2026-07-28T19:15:56Z</dcterms:modified>
  <cp:category/>
</cp:coreProperties>
</file>